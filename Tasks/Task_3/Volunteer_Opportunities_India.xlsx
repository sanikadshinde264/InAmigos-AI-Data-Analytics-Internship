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2457FB-91C4-445D-9AE4-0E93767C9464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Opportunities" sheetId="1" r:id="rId1"/>
    <sheet name="Summary" sheetId="2" r:id="rId2"/>
  </sheets>
  <definedNames>
    <definedName name="_xlnm._FilterDatabase" localSheetId="0" hidden="1">Opportunities!$A$1:$K$19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11" i="2" s="1"/>
  <c r="B7" i="2"/>
  <c r="B6" i="2"/>
  <c r="B5" i="2"/>
  <c r="B4" i="2"/>
</calcChain>
</file>

<file path=xl/sharedStrings.xml><?xml version="1.0" encoding="utf-8"?>
<sst xmlns="http://schemas.openxmlformats.org/spreadsheetml/2006/main" count="201" uniqueCount="157">
  <si>
    <t>S.No</t>
  </si>
  <si>
    <t>Organization</t>
  </si>
  <si>
    <t>Opportunity</t>
  </si>
  <si>
    <t>Type</t>
  </si>
  <si>
    <t>Focus Area</t>
  </si>
  <si>
    <t>Eligibility</t>
  </si>
  <si>
    <t>Mode / Location</t>
  </si>
  <si>
    <t>Stipend / Cost</t>
  </si>
  <si>
    <t>Application Link</t>
  </si>
  <si>
    <t>Deadline / Status</t>
  </si>
  <si>
    <t>Verification</t>
  </si>
  <si>
    <t>SBI Foundation</t>
  </si>
  <si>
    <t>SBI Youth for India Fellowship</t>
  </si>
  <si>
    <t>Fellowship (13 months)</t>
  </si>
  <si>
    <t>Rural development</t>
  </si>
  <si>
    <t>Bachelor's degree completed by programme start; citizen of India/Nepal/Bhutan or OCI/NRI; age limit applies (check site)</t>
  </si>
  <si>
    <t>On-ground with NGO partners, rural India</t>
  </si>
  <si>
    <t>Monthly stipend + ₹1,10,000 readjustment allowance on completion</t>
  </si>
  <si>
    <t>https://www.youthforindia.org/</t>
  </si>
  <si>
    <t>2026-27 cycle closed (reported last date 30 Apr 2026). Next cycle usually opens early in the year; watch the site.</t>
  </si>
  <si>
    <t>Checked via web search, 19 Oct 2026</t>
  </si>
  <si>
    <t>Piramal Foundation</t>
  </si>
  <si>
    <t>Gandhi Fellowship</t>
  </si>
  <si>
    <t>Fellowship (2 years)</t>
  </si>
  <si>
    <t>Education / public systems leadership</t>
  </si>
  <si>
    <t>Graduates/postgraduates (final-year can apply); typically age 18–26</t>
  </si>
  <si>
    <t>Residential training + district placement</t>
  </si>
  <si>
    <t>Monthly stipend (older sources: about ₹24,500–28,000)</t>
  </si>
  <si>
    <t>https://www.gandhifellowship.org/</t>
  </si>
  <si>
    <t>Varies by batch; check portal</t>
  </si>
  <si>
    <t>Official site only; confirm eligibility and dates on the page</t>
  </si>
  <si>
    <t>Ministry of Corporate Affairs, Govt. of India</t>
  </si>
  <si>
    <t>Prime Minister Internship Scheme (PMIS)</t>
  </si>
  <si>
    <t>Paid internship (6–12 months)</t>
  </si>
  <si>
    <t>Industry exposure across 20+ sectors</t>
  </si>
  <si>
    <t>Indian citizen, 18–25 years, not in full-time employment; final-year UG/PG students eligible (institutional NOC needed); family income cap applies</t>
  </si>
  <si>
    <t>Partner companies across India</t>
  </si>
  <si>
    <t>₹9,000/month + ₹6,000 one-time grant + insurance</t>
  </si>
  <si>
    <t>https://pminternship.mca.gov.in/</t>
  </si>
  <si>
    <t>Round-based; 2026 round opened 21 Mar 2026. Check portal for current window.</t>
  </si>
  <si>
    <t>IKS Division, Ministry of Education / AICTE</t>
  </si>
  <si>
    <t>IKS Institutional Internship (BGSamvahan Karyakram-6)</t>
  </si>
  <si>
    <t>Research internship</t>
  </si>
  <si>
    <t>Indian Knowledge Systems</t>
  </si>
  <si>
    <t>Students (UG/PG) from institutions, with a faculty mentor; see site for details</t>
  </si>
  <si>
    <t>Institution-based / hybrid</t>
  </si>
  <si>
    <t>See site</t>
  </si>
  <si>
    <t>https://iksindia.org/</t>
  </si>
  <si>
    <t>Applications closed 30 Jan 2026; final reports due 31 Oct 2026. Watch for next cycle.</t>
  </si>
  <si>
    <t>Teach For India</t>
  </si>
  <si>
    <t>Teach For India Fellowship</t>
  </si>
  <si>
    <t>School education</t>
  </si>
  <si>
    <t>Graduates / final-year students; Indian citizens</t>
  </si>
  <si>
    <t>Classrooms in partner cities</t>
  </si>
  <si>
    <t>Monthly stipend</t>
  </si>
  <si>
    <t>https://www.teachforindia.org/</t>
  </si>
  <si>
    <t>Application rounds vary; check site</t>
  </si>
  <si>
    <t>AICTE</t>
  </si>
  <si>
    <t>AICTE Internship Portal</t>
  </si>
  <si>
    <t>Internship (various)</t>
  </si>
  <si>
    <t>Engineering, management, technology and more</t>
  </si>
  <si>
    <t>Students of AICTE-approved institutions</t>
  </si>
  <si>
    <t>Online / on-site</t>
  </si>
  <si>
    <t>Varies by host (paid and unpaid)</t>
  </si>
  <si>
    <t>https://internship.aicte-india.org/</t>
  </si>
  <si>
    <t>Rolling</t>
  </si>
  <si>
    <t>Ministry of Youth Affairs &amp; Sports</t>
  </si>
  <si>
    <t>MY Bharat (Mera Yuva Bharat) volunteering</t>
  </si>
  <si>
    <t>Volunteering</t>
  </si>
  <si>
    <t>Community service, youth development</t>
  </si>
  <si>
    <t>Youth, generally 15–29 years</t>
  </si>
  <si>
    <t>Local / online</t>
  </si>
  <si>
    <t>Unpaid</t>
  </si>
  <si>
    <t>https://mybharat.gov.in/</t>
  </si>
  <si>
    <t>National Service Scheme (NSS)</t>
  </si>
  <si>
    <t>NSS Volunteer Programme</t>
  </si>
  <si>
    <t>Community service, camps, drives</t>
  </si>
  <si>
    <t>Students enrolled in colleges, universities and senior secondary schools (enrol through your institution's NSS unit)</t>
  </si>
  <si>
    <t>Campus + adopted villages</t>
  </si>
  <si>
    <t>https://nss.gov.in/</t>
  </si>
  <si>
    <t>Enrolment at start of academic year; ask your NSS programme officer</t>
  </si>
  <si>
    <t>United Nations Volunteers (UNV)</t>
  </si>
  <si>
    <t>UNV Online Volunteering</t>
  </si>
  <si>
    <t>Online volunteering</t>
  </si>
  <si>
    <t>Sustainable development (SDGs)</t>
  </si>
  <si>
    <t>18+ years, internet access; skills-based</t>
  </si>
  <si>
    <t>Remote</t>
  </si>
  <si>
    <t>https://www.unv.org/</t>
  </si>
  <si>
    <t>Goonj</t>
  </si>
  <si>
    <t>Goonj Volunteering / Internships</t>
  </si>
  <si>
    <t>Volunteering / internship</t>
  </si>
  <si>
    <t>Disaster relief, rural development, waste to resource</t>
  </si>
  <si>
    <t>Students and young professionals; commitment varies</t>
  </si>
  <si>
    <t>Delhi NCR, Mumbai, field sites</t>
  </si>
  <si>
    <t>Unpaid (check for stipend/stay support)</t>
  </si>
  <si>
    <t>https://goonj.org/</t>
  </si>
  <si>
    <t>Make A Difference (MAD)</t>
  </si>
  <si>
    <t>MAD Volunteer Programme</t>
  </si>
  <si>
    <t>Volunteering (weekly, mentoring)</t>
  </si>
  <si>
    <t>Child education &amp; mentoring</t>
  </si>
  <si>
    <t>College students and young professionals</t>
  </si>
  <si>
    <t>Multiple Indian cities</t>
  </si>
  <si>
    <t>https://www.makeadiff.in/</t>
  </si>
  <si>
    <t>Rolling intake by city</t>
  </si>
  <si>
    <t>The Akshaya Patra Foundation</t>
  </si>
  <si>
    <t>Akshaya Patra Volunteering / Internships</t>
  </si>
  <si>
    <t>Hunger relief, school meals</t>
  </si>
  <si>
    <t>Students and youth</t>
  </si>
  <si>
    <t>https://www.akshayapatra.org/</t>
  </si>
  <si>
    <t>Pratham Education Foundation</t>
  </si>
  <si>
    <t>Pratham Volunteer / Internship</t>
  </si>
  <si>
    <t>Education, learning outcomes</t>
  </si>
  <si>
    <t>Students and graduates; varies by role</t>
  </si>
  <si>
    <t>Multiple states</t>
  </si>
  <si>
    <t>Varies</t>
  </si>
  <si>
    <t>https://www.pratham.org/</t>
  </si>
  <si>
    <t>CRY – Child Rights and You</t>
  </si>
  <si>
    <t>CRY Volunteer / Internship</t>
  </si>
  <si>
    <t>Child rights</t>
  </si>
  <si>
    <t>Students; varies by role</t>
  </si>
  <si>
    <t>Multiple cities / remote</t>
  </si>
  <si>
    <t>https://www.cry.org/</t>
  </si>
  <si>
    <t>Smile Foundation</t>
  </si>
  <si>
    <t>Smile Foundation Volunteer / Internship</t>
  </si>
  <si>
    <t>Education, health, livelihoods</t>
  </si>
  <si>
    <t>Students and young professionals</t>
  </si>
  <si>
    <t>Multiple cities</t>
  </si>
  <si>
    <t>https://www.smilefoundationindia.org/</t>
  </si>
  <si>
    <t>HelpAge India</t>
  </si>
  <si>
    <t>HelpAge India Volunteering</t>
  </si>
  <si>
    <t>Elder care</t>
  </si>
  <si>
    <t>Students and adults; varies by activity</t>
  </si>
  <si>
    <t>https://www.helpageindia.org/</t>
  </si>
  <si>
    <t>AIESEC in India</t>
  </si>
  <si>
    <t>AIESEC Global Volunteer</t>
  </si>
  <si>
    <t>Volunteering abroad / virtual</t>
  </si>
  <si>
    <t>SDG projects, leadership</t>
  </si>
  <si>
    <t>Youth, typically 18–30; programme fee may apply</t>
  </si>
  <si>
    <t>Abroad or virtual</t>
  </si>
  <si>
    <t>Paid by participant (check fees)</t>
  </si>
  <si>
    <t>https://aiesec.in/</t>
  </si>
  <si>
    <t>Rolling; project-wise start dates</t>
  </si>
  <si>
    <t>Indian Red Cross Society</t>
  </si>
  <si>
    <t>Youth Red Cross / Volunteer Programme</t>
  </si>
  <si>
    <t>Health, disaster response, first aid</t>
  </si>
  <si>
    <t>Students (Youth Red Cross units in colleges)</t>
  </si>
  <si>
    <t>Campus + local branches</t>
  </si>
  <si>
    <t>https://indianredcross.org/</t>
  </si>
  <si>
    <t>Summary</t>
  </si>
  <si>
    <t>Category (contains)</t>
  </si>
  <si>
    <t>Count</t>
  </si>
  <si>
    <t>Fellowship</t>
  </si>
  <si>
    <t>Internship</t>
  </si>
  <si>
    <t>Research</t>
  </si>
  <si>
    <t>Total opportunities listed</t>
  </si>
  <si>
    <t>Minimum required by task</t>
  </si>
  <si>
    <t>Requirement met?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</si>
</sst>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sz val="10"/>
      <color theme="1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ss.gov.in/" TargetMode="External"/><Relationship Id="rId13" Type="http://schemas.openxmlformats.org/officeDocument/2006/relationships/hyperlink" Target="https://www.pratham.org/" TargetMode="External"/><Relationship Id="rId18" Type="http://schemas.openxmlformats.org/officeDocument/2006/relationships/hyperlink" Target="https://indianredcross.org/" TargetMode="External"/><Relationship Id="rId3" Type="http://schemas.openxmlformats.org/officeDocument/2006/relationships/hyperlink" Target="https://pminternship.mca.gov.in/" TargetMode="External"/><Relationship Id="rId7" Type="http://schemas.openxmlformats.org/officeDocument/2006/relationships/hyperlink" Target="https://mybharat.gov.in/" TargetMode="External"/><Relationship Id="rId12" Type="http://schemas.openxmlformats.org/officeDocument/2006/relationships/hyperlink" Target="https://www.akshayapatra.org/" TargetMode="External"/><Relationship Id="rId17" Type="http://schemas.openxmlformats.org/officeDocument/2006/relationships/hyperlink" Target="https://aiesec.in/" TargetMode="External"/><Relationship Id="rId2" Type="http://schemas.openxmlformats.org/officeDocument/2006/relationships/hyperlink" Target="https://www.gandhifellowship.org/" TargetMode="External"/><Relationship Id="rId16" Type="http://schemas.openxmlformats.org/officeDocument/2006/relationships/hyperlink" Target="https://www.helpageindia.org/" TargetMode="External"/><Relationship Id="rId1" Type="http://schemas.openxmlformats.org/officeDocument/2006/relationships/hyperlink" Target="https://www.youthforindia.org/" TargetMode="External"/><Relationship Id="rId6" Type="http://schemas.openxmlformats.org/officeDocument/2006/relationships/hyperlink" Target="https://internship.aicte-india.org/" TargetMode="External"/><Relationship Id="rId11" Type="http://schemas.openxmlformats.org/officeDocument/2006/relationships/hyperlink" Target="https://www.makeadiff.in/" TargetMode="External"/><Relationship Id="rId5" Type="http://schemas.openxmlformats.org/officeDocument/2006/relationships/hyperlink" Target="https://www.teachforindia.org/" TargetMode="External"/><Relationship Id="rId15" Type="http://schemas.openxmlformats.org/officeDocument/2006/relationships/hyperlink" Target="https://www.smilefoundationindia.org/" TargetMode="External"/><Relationship Id="rId10" Type="http://schemas.openxmlformats.org/officeDocument/2006/relationships/hyperlink" Target="https://goonj.org/" TargetMode="External"/><Relationship Id="rId4" Type="http://schemas.openxmlformats.org/officeDocument/2006/relationships/hyperlink" Target="https://iksindia.org/" TargetMode="External"/><Relationship Id="rId9" Type="http://schemas.openxmlformats.org/officeDocument/2006/relationships/hyperlink" Target="https://www.unv.org/" TargetMode="External"/><Relationship Id="rId14" Type="http://schemas.openxmlformats.org/officeDocument/2006/relationships/hyperlink" Target="https://www.cr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4" sqref="M4"/>
    </sheetView>
  </sheetViews>
  <sheetFormatPr defaultColWidth="8.6328125" defaultRowHeight="14.5" x14ac:dyDescent="0.35"/>
  <cols>
    <col min="1" max="1" width="6" customWidth="1"/>
    <col min="2" max="2" width="28" customWidth="1"/>
    <col min="3" max="3" width="34" customWidth="1"/>
    <col min="4" max="4" width="22" customWidth="1"/>
    <col min="5" max="5" width="26" customWidth="1"/>
    <col min="6" max="6" width="48" customWidth="1"/>
    <col min="7" max="7" width="26" customWidth="1"/>
    <col min="8" max="8" width="30" customWidth="1"/>
    <col min="9" max="9" width="36" customWidth="1"/>
    <col min="10" max="10" width="44" customWidth="1"/>
    <col min="11" max="11" width="32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7.5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</row>
    <row r="3" spans="1:11" ht="25" x14ac:dyDescent="0.35">
      <c r="A3" s="4">
        <v>2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5" t="s">
        <v>28</v>
      </c>
      <c r="J3" s="4" t="s">
        <v>29</v>
      </c>
      <c r="K3" s="4" t="s">
        <v>30</v>
      </c>
    </row>
    <row r="4" spans="1:11" ht="37.5" x14ac:dyDescent="0.35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3" t="s">
        <v>38</v>
      </c>
      <c r="J4" s="2" t="s">
        <v>39</v>
      </c>
      <c r="K4" s="2" t="s">
        <v>20</v>
      </c>
    </row>
    <row r="5" spans="1:11" ht="25" x14ac:dyDescent="0.35">
      <c r="A5" s="4">
        <v>4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5" t="s">
        <v>47</v>
      </c>
      <c r="J5" s="4" t="s">
        <v>48</v>
      </c>
      <c r="K5" s="4" t="s">
        <v>20</v>
      </c>
    </row>
    <row r="6" spans="1:11" ht="25" x14ac:dyDescent="0.35">
      <c r="A6" s="2">
        <v>5</v>
      </c>
      <c r="B6" s="2" t="s">
        <v>49</v>
      </c>
      <c r="C6" s="2" t="s">
        <v>50</v>
      </c>
      <c r="D6" s="2" t="s">
        <v>23</v>
      </c>
      <c r="E6" s="2" t="s">
        <v>51</v>
      </c>
      <c r="F6" s="2" t="s">
        <v>52</v>
      </c>
      <c r="G6" s="2" t="s">
        <v>53</v>
      </c>
      <c r="H6" s="2" t="s">
        <v>54</v>
      </c>
      <c r="I6" s="3" t="s">
        <v>55</v>
      </c>
      <c r="J6" s="2" t="s">
        <v>56</v>
      </c>
      <c r="K6" s="2" t="s">
        <v>30</v>
      </c>
    </row>
    <row r="7" spans="1:11" ht="25" x14ac:dyDescent="0.35">
      <c r="A7" s="4">
        <v>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63</v>
      </c>
      <c r="I7" s="5" t="s">
        <v>64</v>
      </c>
      <c r="J7" s="4" t="s">
        <v>65</v>
      </c>
      <c r="K7" s="4" t="s">
        <v>30</v>
      </c>
    </row>
    <row r="8" spans="1:11" ht="25" x14ac:dyDescent="0.35">
      <c r="A8" s="2">
        <v>7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3" t="s">
        <v>73</v>
      </c>
      <c r="J8" s="2" t="s">
        <v>65</v>
      </c>
      <c r="K8" s="2" t="s">
        <v>30</v>
      </c>
    </row>
    <row r="9" spans="1:11" ht="37.5" x14ac:dyDescent="0.35">
      <c r="A9" s="4">
        <v>8</v>
      </c>
      <c r="B9" s="4" t="s">
        <v>74</v>
      </c>
      <c r="C9" s="4" t="s">
        <v>75</v>
      </c>
      <c r="D9" s="4" t="s">
        <v>68</v>
      </c>
      <c r="E9" s="4" t="s">
        <v>76</v>
      </c>
      <c r="F9" s="4" t="s">
        <v>77</v>
      </c>
      <c r="G9" s="4" t="s">
        <v>78</v>
      </c>
      <c r="H9" s="4" t="s">
        <v>72</v>
      </c>
      <c r="I9" s="5" t="s">
        <v>79</v>
      </c>
      <c r="J9" s="4" t="s">
        <v>80</v>
      </c>
      <c r="K9" s="4" t="s">
        <v>30</v>
      </c>
    </row>
    <row r="10" spans="1:11" ht="25" x14ac:dyDescent="0.35">
      <c r="A10" s="2">
        <v>9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72</v>
      </c>
      <c r="I10" s="3" t="s">
        <v>87</v>
      </c>
      <c r="J10" s="2" t="s">
        <v>65</v>
      </c>
      <c r="K10" s="2" t="s">
        <v>30</v>
      </c>
    </row>
    <row r="11" spans="1:11" ht="37.5" x14ac:dyDescent="0.35">
      <c r="A11" s="4">
        <v>10</v>
      </c>
      <c r="B11" s="4" t="s">
        <v>88</v>
      </c>
      <c r="C11" s="4" t="s">
        <v>89</v>
      </c>
      <c r="D11" s="4" t="s">
        <v>90</v>
      </c>
      <c r="E11" s="4" t="s">
        <v>91</v>
      </c>
      <c r="F11" s="4" t="s">
        <v>92</v>
      </c>
      <c r="G11" s="4" t="s">
        <v>93</v>
      </c>
      <c r="H11" s="4" t="s">
        <v>94</v>
      </c>
      <c r="I11" s="5" t="s">
        <v>95</v>
      </c>
      <c r="J11" s="4" t="s">
        <v>65</v>
      </c>
      <c r="K11" s="4" t="s">
        <v>30</v>
      </c>
    </row>
    <row r="12" spans="1:11" ht="25" x14ac:dyDescent="0.35">
      <c r="A12" s="2">
        <v>11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72</v>
      </c>
      <c r="I12" s="3" t="s">
        <v>102</v>
      </c>
      <c r="J12" s="2" t="s">
        <v>103</v>
      </c>
      <c r="K12" s="2" t="s">
        <v>30</v>
      </c>
    </row>
    <row r="13" spans="1:11" ht="25" x14ac:dyDescent="0.35">
      <c r="A13" s="4">
        <v>12</v>
      </c>
      <c r="B13" s="4" t="s">
        <v>104</v>
      </c>
      <c r="C13" s="4" t="s">
        <v>105</v>
      </c>
      <c r="D13" s="4" t="s">
        <v>90</v>
      </c>
      <c r="E13" s="4" t="s">
        <v>106</v>
      </c>
      <c r="F13" s="4" t="s">
        <v>107</v>
      </c>
      <c r="G13" s="4" t="s">
        <v>101</v>
      </c>
      <c r="H13" s="4" t="s">
        <v>72</v>
      </c>
      <c r="I13" s="5" t="s">
        <v>108</v>
      </c>
      <c r="J13" s="4" t="s">
        <v>65</v>
      </c>
      <c r="K13" s="4" t="s">
        <v>30</v>
      </c>
    </row>
    <row r="14" spans="1:11" ht="25" x14ac:dyDescent="0.35">
      <c r="A14" s="2">
        <v>13</v>
      </c>
      <c r="B14" s="2" t="s">
        <v>109</v>
      </c>
      <c r="C14" s="2" t="s">
        <v>110</v>
      </c>
      <c r="D14" s="2" t="s">
        <v>90</v>
      </c>
      <c r="E14" s="2" t="s">
        <v>111</v>
      </c>
      <c r="F14" s="2" t="s">
        <v>112</v>
      </c>
      <c r="G14" s="2" t="s">
        <v>113</v>
      </c>
      <c r="H14" s="2" t="s">
        <v>114</v>
      </c>
      <c r="I14" s="3" t="s">
        <v>115</v>
      </c>
      <c r="J14" s="2" t="s">
        <v>65</v>
      </c>
      <c r="K14" s="2" t="s">
        <v>30</v>
      </c>
    </row>
    <row r="15" spans="1:11" ht="25" x14ac:dyDescent="0.35">
      <c r="A15" s="4">
        <v>14</v>
      </c>
      <c r="B15" s="4" t="s">
        <v>116</v>
      </c>
      <c r="C15" s="4" t="s">
        <v>117</v>
      </c>
      <c r="D15" s="4" t="s">
        <v>90</v>
      </c>
      <c r="E15" s="4" t="s">
        <v>118</v>
      </c>
      <c r="F15" s="4" t="s">
        <v>119</v>
      </c>
      <c r="G15" s="4" t="s">
        <v>120</v>
      </c>
      <c r="H15" s="4" t="s">
        <v>114</v>
      </c>
      <c r="I15" s="5" t="s">
        <v>121</v>
      </c>
      <c r="J15" s="4" t="s">
        <v>65</v>
      </c>
      <c r="K15" s="4" t="s">
        <v>30</v>
      </c>
    </row>
    <row r="16" spans="1:11" ht="25" x14ac:dyDescent="0.35">
      <c r="A16" s="2">
        <v>15</v>
      </c>
      <c r="B16" s="2" t="s">
        <v>122</v>
      </c>
      <c r="C16" s="2" t="s">
        <v>123</v>
      </c>
      <c r="D16" s="2" t="s">
        <v>90</v>
      </c>
      <c r="E16" s="2" t="s">
        <v>124</v>
      </c>
      <c r="F16" s="2" t="s">
        <v>125</v>
      </c>
      <c r="G16" s="2" t="s">
        <v>126</v>
      </c>
      <c r="H16" s="2" t="s">
        <v>114</v>
      </c>
      <c r="I16" s="3" t="s">
        <v>127</v>
      </c>
      <c r="J16" s="2" t="s">
        <v>65</v>
      </c>
      <c r="K16" s="2" t="s">
        <v>30</v>
      </c>
    </row>
    <row r="17" spans="1:11" ht="25" x14ac:dyDescent="0.35">
      <c r="A17" s="4">
        <v>16</v>
      </c>
      <c r="B17" s="4" t="s">
        <v>128</v>
      </c>
      <c r="C17" s="4" t="s">
        <v>129</v>
      </c>
      <c r="D17" s="4" t="s">
        <v>68</v>
      </c>
      <c r="E17" s="4" t="s">
        <v>130</v>
      </c>
      <c r="F17" s="4" t="s">
        <v>131</v>
      </c>
      <c r="G17" s="4" t="s">
        <v>126</v>
      </c>
      <c r="H17" s="4" t="s">
        <v>72</v>
      </c>
      <c r="I17" s="5" t="s">
        <v>132</v>
      </c>
      <c r="J17" s="4" t="s">
        <v>65</v>
      </c>
      <c r="K17" s="4" t="s">
        <v>30</v>
      </c>
    </row>
    <row r="18" spans="1:11" ht="25" x14ac:dyDescent="0.35">
      <c r="A18" s="2">
        <v>17</v>
      </c>
      <c r="B18" s="2" t="s">
        <v>133</v>
      </c>
      <c r="C18" s="2" t="s">
        <v>134</v>
      </c>
      <c r="D18" s="2" t="s">
        <v>135</v>
      </c>
      <c r="E18" s="2" t="s">
        <v>136</v>
      </c>
      <c r="F18" s="2" t="s">
        <v>137</v>
      </c>
      <c r="G18" s="2" t="s">
        <v>138</v>
      </c>
      <c r="H18" s="2" t="s">
        <v>139</v>
      </c>
      <c r="I18" s="3" t="s">
        <v>140</v>
      </c>
      <c r="J18" s="2" t="s">
        <v>141</v>
      </c>
      <c r="K18" s="2" t="s">
        <v>30</v>
      </c>
    </row>
    <row r="19" spans="1:11" ht="25" x14ac:dyDescent="0.35">
      <c r="A19" s="4">
        <v>18</v>
      </c>
      <c r="B19" s="4" t="s">
        <v>142</v>
      </c>
      <c r="C19" s="4" t="s">
        <v>143</v>
      </c>
      <c r="D19" s="4" t="s">
        <v>68</v>
      </c>
      <c r="E19" s="4" t="s">
        <v>144</v>
      </c>
      <c r="F19" s="4" t="s">
        <v>145</v>
      </c>
      <c r="G19" s="4" t="s">
        <v>146</v>
      </c>
      <c r="H19" s="4" t="s">
        <v>72</v>
      </c>
      <c r="I19" s="5" t="s">
        <v>147</v>
      </c>
      <c r="J19" s="4" t="s">
        <v>65</v>
      </c>
      <c r="K19" s="4" t="s">
        <v>30</v>
      </c>
    </row>
  </sheetData>
  <autoFilter ref="A1:K19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zoomScaleNormal="100" workbookViewId="0">
      <selection activeCell="K10" sqref="K10"/>
    </sheetView>
  </sheetViews>
  <sheetFormatPr defaultColWidth="8.6328125" defaultRowHeight="14.5" x14ac:dyDescent="0.35"/>
  <cols>
    <col min="1" max="1" width="34" customWidth="1"/>
    <col min="2" max="2" width="12" customWidth="1"/>
  </cols>
  <sheetData>
    <row r="1" spans="1:2" ht="18" x14ac:dyDescent="0.4">
      <c r="A1" s="6" t="s">
        <v>148</v>
      </c>
      <c r="B1" s="7"/>
    </row>
    <row r="2" spans="1:2" x14ac:dyDescent="0.35">
      <c r="A2" s="7"/>
      <c r="B2" s="7"/>
    </row>
    <row r="3" spans="1:2" x14ac:dyDescent="0.35">
      <c r="A3" s="8" t="s">
        <v>149</v>
      </c>
      <c r="B3" s="8" t="s">
        <v>150</v>
      </c>
    </row>
    <row r="4" spans="1:2" x14ac:dyDescent="0.35">
      <c r="A4" s="7" t="s">
        <v>151</v>
      </c>
      <c r="B4" s="7">
        <f>COUNTIF(Opportunities!$D$2:$D$19,"*"&amp;A4&amp;"*")</f>
        <v>3</v>
      </c>
    </row>
    <row r="5" spans="1:2" x14ac:dyDescent="0.35">
      <c r="A5" s="7" t="s">
        <v>152</v>
      </c>
      <c r="B5" s="7">
        <f>COUNTIF(Opportunities!$D$2:$D$19,"*"&amp;A5&amp;"*")</f>
        <v>8</v>
      </c>
    </row>
    <row r="6" spans="1:2" x14ac:dyDescent="0.35">
      <c r="A6" s="7" t="s">
        <v>68</v>
      </c>
      <c r="B6" s="7">
        <f>COUNTIF(Opportunities!$D$2:$D$19,"*"&amp;A6&amp;"*")</f>
        <v>12</v>
      </c>
    </row>
    <row r="7" spans="1:2" x14ac:dyDescent="0.35">
      <c r="A7" s="7" t="s">
        <v>153</v>
      </c>
      <c r="B7" s="7">
        <f>COUNTIF(Opportunities!$D$2:$D$19,"*"&amp;A7&amp;"*")</f>
        <v>1</v>
      </c>
    </row>
    <row r="8" spans="1:2" x14ac:dyDescent="0.35">
      <c r="A8" s="7"/>
      <c r="B8" s="7"/>
    </row>
    <row r="9" spans="1:2" x14ac:dyDescent="0.35">
      <c r="A9" s="7" t="s">
        <v>154</v>
      </c>
      <c r="B9" s="7">
        <f>COUNTA(Opportunities!$B$2:$B$19)</f>
        <v>18</v>
      </c>
    </row>
    <row r="10" spans="1:2" x14ac:dyDescent="0.35">
      <c r="A10" s="7" t="s">
        <v>155</v>
      </c>
      <c r="B10" s="7">
        <v>15</v>
      </c>
    </row>
    <row r="11" spans="1:2" x14ac:dyDescent="0.35">
      <c r="A11" s="7" t="s">
        <v>156</v>
      </c>
      <c r="B11" s="7" t="str">
        <f>IF(B9&gt;=B10,"Yes","No")</f>
        <v>Yes</v>
      </c>
    </row>
    <row r="12" spans="1:2" x14ac:dyDescent="0.35">
      <c r="A12" s="7"/>
      <c r="B12" s="7"/>
    </row>
    <row r="13" spans="1:2" x14ac:dyDescent="0.35">
      <c r="A13" s="7"/>
      <c r="B13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Sanika Shinde</cp:lastModifiedBy>
  <cp:revision>0</cp:revision>
  <dcterms:created xsi:type="dcterms:W3CDTF">2026-10-19T02:22:03Z</dcterms:created>
  <dcterms:modified xsi:type="dcterms:W3CDTF">2026-10-19T02:26:54Z</dcterms:modified>
  <dc:language>en-US</dc:language>
</cp:coreProperties>
</file>